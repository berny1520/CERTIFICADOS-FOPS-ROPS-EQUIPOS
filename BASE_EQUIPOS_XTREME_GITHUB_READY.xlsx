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6760050c8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os" sheetId="1" r:id="R2b711fc819124272"/>
    <x:sheet xmlns:r="http://schemas.openxmlformats.org/officeDocument/2006/relationships" name="Dashboard" sheetId="2" r:id="R8c9b1cb6e2a6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731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35bd4f77645df" /><Relationship Type="http://schemas.openxmlformats.org/officeDocument/2006/relationships/theme" Target="/xl/theme/theme1.xml" Id="Reb76ead1f03840fb" /><Relationship Type="http://schemas.openxmlformats.org/officeDocument/2006/relationships/sharedStrings" Target="/xl/sharedStrings.xml" Id="R1b3fa563f79a4b35" /><Relationship Type="http://schemas.openxmlformats.org/officeDocument/2006/relationships/worksheet" Target="/xl/worksheets/sheet1.xml" Id="R2b711fc819124272" /><Relationship Type="http://schemas.openxmlformats.org/officeDocument/2006/relationships/worksheet" Target="/xl/worksheets/sheet2.xml" Id="R8c9b1cb6e2a64f24" /></Relationships>
</file>

<file path=xl/tables/table1.xml><?xml version="1.0" encoding="utf-8"?>
<x:table xmlns:x="http://schemas.openxmlformats.org/spreadsheetml/2006/main" id="1" name="TablaEquipos" displayName="TablaEquipos" ref="A1:L28" headerRowCount="1">
  <x:tableColumns count="12">
    <x:tableColumn id="1" name="codigo"/>
    <x:tableColumn id="2" name="equipo"/>
    <x:tableColumn id="3" name="tipo"/>
    <x:tableColumn id="4" name="modelo"/>
    <x:tableColumn id="5" name="marca"/>
    <x:tableColumn id="6" name="estado"/>
    <x:tableColumn id="7" name="tipo_certificado"/>
    <x:tableColumn id="8" name="rig"/>
    <x:tableColumn id="9" name="serie"/>
    <x:tableColumn id="10" name="certificado_pdf"/>
    <x:tableColumn id="11" name="validacion"/>
    <x:tableColumn id="12" name="q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3499e89cc4459c" /></Relationships>
</file>

<file path=xl/worksheets/sheet1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25.709999084472656" hidden="0" customWidth="1"/>
    <x:col min="3" max="3" width="13.319999694824219" hidden="0" customWidth="1"/>
    <x:col min="4" max="4" width="23.420000076293945" hidden="0" customWidth="1"/>
    <x:col min="5" max="5" width="9.289999961853027" hidden="0" customWidth="1"/>
    <x:col min="6" max="6" width="8.609999656677246" hidden="0" customWidth="1"/>
    <x:col min="7" max="7" width="33.91999816894531" hidden="0" customWidth="1"/>
    <x:col min="8" max="8" width="9.960000038146973" hidden="0" customWidth="1"/>
    <x:col min="9" max="9" width="17.360000610351562" hidden="0" customWidth="1"/>
    <x:col min="10" max="10" width="65.94999694824219" hidden="0" customWidth="1"/>
    <x:col min="11" max="11" width="31.360000610351562" hidden="0" customWidth="1"/>
    <x:col min="12" max="12" width="24.5" hidden="0" customWidth="1"/>
  </x:cols>
  <x:sheetData>
    <x:row r="1">
      <x:c r="A1" s="8" t="str">
        <x:v>codigo</x:v>
      </x:c>
      <x:c r="B1" s="8" t="str">
        <x:v>equipo</x:v>
      </x:c>
      <x:c r="C1" s="8" t="str">
        <x:v>tipo</x:v>
      </x:c>
      <x:c r="D1" s="8" t="str">
        <x:v>modelo</x:v>
      </x:c>
      <x:c r="E1" s="8" t="str">
        <x:v>marca</x:v>
      </x:c>
      <x:c r="F1" s="8" t="str">
        <x:v>estado</x:v>
      </x:c>
      <x:c r="G1" s="8" t="str">
        <x:v>tipo_certificado</x:v>
      </x:c>
      <x:c r="H1" s="8" t="str">
        <x:v>rig</x:v>
      </x:c>
      <x:c r="I1" s="8" t="str">
        <x:v>serie</x:v>
      </x:c>
      <x:c r="J1" s="8" t="str">
        <x:v>certificado_pdf</x:v>
      </x:c>
      <x:c r="K1" s="8" t="str">
        <x:v>validacion</x:v>
      </x:c>
      <x:c r="L1" s="8" t="str">
        <x:v>qr</x:v>
      </x:c>
    </x:row>
    <x:row r="2">
      <x:c r="A2" s="9" t="str">
        <x:v>XTM-JUMBO-133</x:v>
      </x:c>
      <x:c r="B2" s="9" t="str">
        <x:v>JUMBO S1D BOOMER</x:v>
      </x:c>
      <x:c r="C2" s="9" t="str">
        <x:v>Jumbo</x:v>
      </x:c>
      <x:c r="D2" s="9" t="str">
        <x:v>Boomer S1D</x:v>
      </x:c>
      <x:c r="E2" s="9" t="str">
        <x:v>Epiroc</x:v>
      </x:c>
      <x:c r="F2" s="9" t="str">
        <x:v>Certificado</x:v>
      </x:c>
      <x:c r="G2" s="9" t="str">
        <x:v>FOPS/ROPS</x:v>
      </x:c>
      <x:c r="H2" s="9" t="str">
        <x:v>8999795900</x:v>
      </x:c>
      <x:c r="I2" s="9" t="str">
        <x:v>TMG25URE0133</x:v>
      </x:c>
      <x:c r="J2" s="9" t="str">
        <x:v>./certificados/XTM-JUMBO-133_BOOMER-S1D_FOPS-ROPS.pdf</x:v>
      </x:c>
      <x:c r="K2" s="9" t="str">
        <x:v>./validar.html?id=XTM-JUMBO-133</x:v>
      </x:c>
      <x:c r="L2" s="9" t="str">
        <x:v>./qr/XTM-JUMBO-133.png</x:v>
      </x:c>
    </x:row>
    <x:row r="3">
      <x:c r="A3" s="9" t="str">
        <x:v>XTM-JUMBO-163</x:v>
      </x:c>
      <x:c r="B3" s="9" t="str">
        <x:v>JUMBO SIMBA S7D</x:v>
      </x:c>
      <x:c r="C3" s="9" t="str">
        <x:v>Jumbo</x:v>
      </x:c>
      <x:c r="D3" s="9" t="str">
        <x:v>Simba S7D</x:v>
      </x:c>
      <x:c r="E3" s="9" t="str">
        <x:v>Epiroc</x:v>
      </x:c>
      <x:c r="F3" s="9" t="str">
        <x:v>Certificado</x:v>
      </x:c>
      <x:c r="G3" s="9" t="str">
        <x:v>FOPS/ROPS</x:v>
      </x:c>
      <x:c r="H3" s="9" t="str">
        <x:v>8999797800</x:v>
      </x:c>
      <x:c r="I3" s="9" t="str">
        <x:v>TMG25URE0163</x:v>
      </x:c>
      <x:c r="J3" s="9" t="str">
        <x:v>./certificados/XTM-JUMBO-163_SIMBA-S7D_FOPS-ROPS.pdf</x:v>
      </x:c>
      <x:c r="K3" s="9" t="str">
        <x:v>./validar.html?id=XTM-JUMBO-163</x:v>
      </x:c>
      <x:c r="L3" s="9" t="str">
        <x:v>./qr/XTM-JUMBO-163.png</x:v>
      </x:c>
    </x:row>
    <x:row r="4">
      <x:c r="A4" s="9" t="str">
        <x:v>XTM-JUMBO-187</x:v>
      </x:c>
      <x:c r="B4" s="9" t="str">
        <x:v>JUMBO S1D BOOMER</x:v>
      </x:c>
      <x:c r="C4" s="9" t="str">
        <x:v>Jumbo</x:v>
      </x:c>
      <x:c r="D4" s="9" t="str">
        <x:v>Boomer S1D</x:v>
      </x:c>
      <x:c r="E4" s="9" t="str">
        <x:v>Epiroc</x:v>
      </x:c>
      <x:c r="F4" s="9" t="str">
        <x:v>Pendiente</x:v>
      </x:c>
      <x:c r="G4" s="9" t="str">
        <x:v>Sin certificado adjunto</x:v>
      </x:c>
      <x:c r="H4" s="9" t="str"/>
      <x:c r="I4" s="9" t="str"/>
      <x:c r="J4" s="9" t="str"/>
      <x:c r="K4" s="9" t="str">
        <x:v>./validar.html?id=XTM-JUMBO-187</x:v>
      </x:c>
      <x:c r="L4" s="9" t="str"/>
    </x:row>
    <x:row r="5">
      <x:c r="A5" s="9" t="str">
        <x:v>XTM-JUMBO-587</x:v>
      </x:c>
      <x:c r="B5" s="9" t="str">
        <x:v>JUMBO DD311D</x:v>
      </x:c>
      <x:c r="C5" s="9" t="str">
        <x:v>Jumbo</x:v>
      </x:c>
      <x:c r="D5" s="9" t="str">
        <x:v>DD311D</x:v>
      </x:c>
      <x:c r="E5" s="9" t="str">
        <x:v>Sandvik</x:v>
      </x:c>
      <x:c r="F5" s="9" t="str">
        <x:v>Certificado</x:v>
      </x:c>
      <x:c r="G5" s="9" t="str">
        <x:v>Cabina FOPS/ROPS</x:v>
      </x:c>
      <x:c r="H5" s="9" t="str">
        <x:v>L22D7587</x:v>
      </x:c>
      <x:c r="I5" s="9" t="str">
        <x:v>L22D7587</x:v>
      </x:c>
      <x:c r="J5" s="9" t="str">
        <x:v>./certificados/XTM-JUMBO-587_DD311D_CERT-CABINA.pdf</x:v>
      </x:c>
      <x:c r="K5" s="9" t="str">
        <x:v>./validar.html?id=XTM-JUMBO-587</x:v>
      </x:c>
      <x:c r="L5" s="9" t="str">
        <x:v>./qr/XTM-JUMBO-587.png</x:v>
      </x:c>
    </x:row>
    <x:row r="6">
      <x:c r="A6" s="9" t="str">
        <x:v>XTM-JUMBO-381</x:v>
      </x:c>
      <x:c r="B6" s="9" t="str">
        <x:v>JUMBO BOLTEC</x:v>
      </x:c>
      <x:c r="C6" s="9" t="str">
        <x:v>Jumbo</x:v>
      </x:c>
      <x:c r="D6" s="9" t="str">
        <x:v>Boltec M</x:v>
      </x:c>
      <x:c r="E6" s="9" t="str">
        <x:v>Epiroc</x:v>
      </x:c>
      <x:c r="F6" s="9" t="str">
        <x:v>Certificado</x:v>
      </x:c>
      <x:c r="G6" s="9" t="str">
        <x:v>Pack FOPS/ROPS + supresion + gases + A/C</x:v>
      </x:c>
      <x:c r="H6" s="9" t="str">
        <x:v>8999473200</x:v>
      </x:c>
      <x:c r="I6" s="9" t="str">
        <x:v>TMG20URE0381</x:v>
      </x:c>
      <x:c r="J6" s="9" t="str">
        <x:v>./certificados/XTM-JUMBO-381_BOLTEC-M_CERTIFICADOS.pdf</x:v>
      </x:c>
      <x:c r="K6" s="9" t="str">
        <x:v>./validar.html?id=XTM-JUMBO-381</x:v>
      </x:c>
      <x:c r="L6" s="9" t="str">
        <x:v>./qr/XTM-JUMBO-381.png</x:v>
      </x:c>
    </x:row>
    <x:row r="7">
      <x:c r="A7" s="9" t="str">
        <x:v>XTM-LHD-033</x:v>
      </x:c>
      <x:c r="B7" s="9" t="str">
        <x:v>SCOOP ST1030</x:v>
      </x:c>
      <x:c r="C7" s="9" t="str">
        <x:v>LHD</x:v>
      </x:c>
      <x:c r="D7" s="9" t="str">
        <x:v>Scooptram ST1030</x:v>
      </x:c>
      <x:c r="E7" s="9" t="str">
        <x:v>Epiroc</x:v>
      </x:c>
      <x:c r="F7" s="9" t="str">
        <x:v>Certificado</x:v>
      </x:c>
      <x:c r="G7" s="9" t="str">
        <x:v>FOPS/ROPS</x:v>
      </x:c>
      <x:c r="H7" s="9" t="str">
        <x:v>8997991900</x:v>
      </x:c>
      <x:c r="I7" s="9" t="str">
        <x:v>CNN25URE0033</x:v>
      </x:c>
      <x:c r="J7" s="9" t="str">
        <x:v>./certificados/XTM-LHD-033_SCOOP-ST1030_FOPS-ROPS.pdf</x:v>
      </x:c>
      <x:c r="K7" s="9" t="str">
        <x:v>./validar.html?id=XTM-LHD-033</x:v>
      </x:c>
      <x:c r="L7" s="9" t="str">
        <x:v>./qr/XTM-LHD-033.png</x:v>
      </x:c>
    </x:row>
    <x:row r="8">
      <x:c r="A8" s="9" t="str">
        <x:v>XTM-LHD-043</x:v>
      </x:c>
      <x:c r="B8" s="9" t="str">
        <x:v>SCOOP ST1030</x:v>
      </x:c>
      <x:c r="C8" s="9" t="str">
        <x:v>LHD</x:v>
      </x:c>
      <x:c r="D8" s="9" t="str">
        <x:v>Scooptram ST1030</x:v>
      </x:c>
      <x:c r="E8" s="9" t="str">
        <x:v>Atlas Copco</x:v>
      </x:c>
      <x:c r="F8" s="9" t="str">
        <x:v>Certificado</x:v>
      </x:c>
      <x:c r="G8" s="9" t="str">
        <x:v>ROPS/FOPS Test Certificate</x:v>
      </x:c>
      <x:c r="H8" s="9" t="str"/>
      <x:c r="I8" s="9" t="str">
        <x:v>LHD043</x:v>
      </x:c>
      <x:c r="J8" s="9" t="str">
        <x:v>./certificados/XTM-LHD-043_SCOOP-ST1030_FOPS-ROPS.pdf</x:v>
      </x:c>
      <x:c r="K8" s="9" t="str">
        <x:v>./validar.html?id=XTM-LHD-043</x:v>
      </x:c>
      <x:c r="L8" s="9" t="str">
        <x:v>./qr/XTM-LHD-043.png</x:v>
      </x:c>
    </x:row>
    <x:row r="9">
      <x:c r="A9" s="9" t="str">
        <x:v>XTM-MANI-047</x:v>
      </x:c>
      <x:c r="B9" s="9" t="str">
        <x:v>MANIPULADOR TELESCOPICO</x:v>
      </x:c>
      <x:c r="C9" s="9" t="str">
        <x:v>Manipulador</x:v>
      </x:c>
      <x:c r="D9" s="9" t="str">
        <x:v>JCB 533-105 T</x:v>
      </x:c>
      <x:c r="E9" s="9" t="str">
        <x:v>JCB</x:v>
      </x:c>
      <x:c r="F9" s="9" t="str">
        <x:v>Certificado</x:v>
      </x:c>
      <x:c r="G9" s="9" t="str">
        <x:v>Ergonomia/FOPS/ROPS</x:v>
      </x:c>
      <x:c r="H9" s="9" t="str">
        <x:v>3465047</x:v>
      </x:c>
      <x:c r="I9" s="9" t="str">
        <x:v>JCB5AH2GTR3465047</x:v>
      </x:c>
      <x:c r="J9" s="9" t="str">
        <x:v>./certificados/XTM-MANI-047_MANIPULADOR_ERGONOMIA-FOPS-ROPS.pdf</x:v>
      </x:c>
      <x:c r="K9" s="9" t="str">
        <x:v>./validar.html?id=XTM-MANI-047</x:v>
      </x:c>
      <x:c r="L9" s="9" t="str">
        <x:v>./qr/XTM-MANI-047.png</x:v>
      </x:c>
    </x:row>
    <x:row r="10">
      <x:c r="A10" s="9" t="str">
        <x:v>XTM-MANI-869</x:v>
      </x:c>
      <x:c r="B10" s="9" t="str">
        <x:v>MANIPULADOR TELESCOPICO</x:v>
      </x:c>
      <x:c r="C10" s="9" t="str">
        <x:v>Manipulador</x:v>
      </x:c>
      <x:c r="D10" s="9" t="str">
        <x:v>JCB 533-105 T</x:v>
      </x:c>
      <x:c r="E10" s="9" t="str">
        <x:v>JCB</x:v>
      </x:c>
      <x:c r="F10" s="9" t="str">
        <x:v>Certificado</x:v>
      </x:c>
      <x:c r="G10" s="9" t="str">
        <x:v>Ergonomia/FOPS/ROPS</x:v>
      </x:c>
      <x:c r="H10" s="9" t="str">
        <x:v>3464869</x:v>
      </x:c>
      <x:c r="I10" s="9" t="str">
        <x:v>JCB5AH2GKR3464869</x:v>
      </x:c>
      <x:c r="J10" s="9" t="str">
        <x:v>./certificados/XTM-MANI-869_MANIPULADOR_ERGONOMIA-FOPS-ROPS.pdf</x:v>
      </x:c>
      <x:c r="K10" s="9" t="str">
        <x:v>./validar.html?id=XTM-MANI-869</x:v>
      </x:c>
      <x:c r="L10" s="9" t="str">
        <x:v>./qr/XTM-MANI-869.png</x:v>
      </x:c>
    </x:row>
    <x:row r="11">
      <x:c r="A11" s="9" t="str">
        <x:v>XTM-MANI-160</x:v>
      </x:c>
      <x:c r="B11" s="9" t="str">
        <x:v>MANIPULADOR TELESCOPICO</x:v>
      </x:c>
      <x:c r="C11" s="9" t="str">
        <x:v>Manipulador</x:v>
      </x:c>
      <x:c r="D11" s="9" t="str">
        <x:v>JCB 533-105 T</x:v>
      </x:c>
      <x:c r="E11" s="9" t="str">
        <x:v>JCB</x:v>
      </x:c>
      <x:c r="F11" s="9" t="str">
        <x:v>Certificado</x:v>
      </x:c>
      <x:c r="G11" s="9" t="str">
        <x:v>Ergonomia/FOPS/ROPS</x:v>
      </x:c>
      <x:c r="H11" s="9" t="str">
        <x:v>3465160</x:v>
      </x:c>
      <x:c r="I11" s="9" t="str">
        <x:v>JCB5AH2GER3465160</x:v>
      </x:c>
      <x:c r="J11" s="9" t="str">
        <x:v>./certificados/XTM-MANI-160_MANIPULADOR_ERGONOMIA-FOPS-ROPS.pdf</x:v>
      </x:c>
      <x:c r="K11" s="9" t="str">
        <x:v>./validar.html?id=XTM-MANI-160</x:v>
      </x:c>
      <x:c r="L11" s="9" t="str">
        <x:v>./qr/XTM-MANI-160.png</x:v>
      </x:c>
    </x:row>
    <x:row r="12">
      <x:c r="A12" s="9" t="str">
        <x:v>XTM-MANI-933</x:v>
      </x:c>
      <x:c r="B12" s="9" t="str">
        <x:v>MANIPULADOR TELESCOPICO</x:v>
      </x:c>
      <x:c r="C12" s="9" t="str">
        <x:v>Manipulador</x:v>
      </x:c>
      <x:c r="D12" s="9" t="str">
        <x:v>JCB 533-105 T</x:v>
      </x:c>
      <x:c r="E12" s="9" t="str">
        <x:v>JCB</x:v>
      </x:c>
      <x:c r="F12" s="9" t="str">
        <x:v>Certificado</x:v>
      </x:c>
      <x:c r="G12" s="9" t="str">
        <x:v>Ergonomia/FOPS/ROPS</x:v>
      </x:c>
      <x:c r="H12" s="9" t="str">
        <x:v>3464933</x:v>
      </x:c>
      <x:c r="I12" s="9" t="str">
        <x:v>JCB5AH2GCR3464933</x:v>
      </x:c>
      <x:c r="J12" s="9" t="str">
        <x:v>./certificados/XTM-MANI-933_MANIPULADOR_ERGONOMIA-FOPS-ROPS.pdf</x:v>
      </x:c>
      <x:c r="K12" s="9" t="str">
        <x:v>./validar.html?id=XTM-MANI-933</x:v>
      </x:c>
      <x:c r="L12" s="9" t="str">
        <x:v>./qr/XTM-MANI-933.png</x:v>
      </x:c>
    </x:row>
    <x:row r="13">
      <x:c r="A13" s="9" t="str">
        <x:v>XTM-MANI-747</x:v>
      </x:c>
      <x:c r="B13" s="9" t="str">
        <x:v>MANIPULADOR TELESCOPICO</x:v>
      </x:c>
      <x:c r="C13" s="9" t="str">
        <x:v>Manipulador</x:v>
      </x:c>
      <x:c r="D13" s="9" t="str">
        <x:v>JCB 533-105 T</x:v>
      </x:c>
      <x:c r="E13" s="9" t="str">
        <x:v>JCB</x:v>
      </x:c>
      <x:c r="F13" s="9" t="str">
        <x:v>Certificado</x:v>
      </x:c>
      <x:c r="G13" s="9" t="str">
        <x:v>Ergonomia/FOPS/ROPS</x:v>
      </x:c>
      <x:c r="H13" s="9" t="str">
        <x:v>3466747</x:v>
      </x:c>
      <x:c r="I13" s="9" t="str">
        <x:v>JCB5AH2GTR3466747</x:v>
      </x:c>
      <x:c r="J13" s="9" t="str">
        <x:v>./certificados/XTM-MANI-747_MANIPULADOR_ERGONOMIA-FOPS-ROPS.pdf</x:v>
      </x:c>
      <x:c r="K13" s="9" t="str">
        <x:v>./validar.html?id=XTM-MANI-747</x:v>
      </x:c>
      <x:c r="L13" s="9" t="str">
        <x:v>./qr/XTM-MANI-747.png</x:v>
      </x:c>
    </x:row>
    <x:row r="14">
      <x:c r="A14" s="9" t="str">
        <x:v>XTM-MANI-336</x:v>
      </x:c>
      <x:c r="B14" s="9" t="str">
        <x:v>MANIPULADOR TELESCOPICO</x:v>
      </x:c>
      <x:c r="C14" s="9" t="str">
        <x:v>Manipulador</x:v>
      </x:c>
      <x:c r="D14" s="9" t="str">
        <x:v>JCB 533-105 T</x:v>
      </x:c>
      <x:c r="E14" s="9" t="str">
        <x:v>JCB</x:v>
      </x:c>
      <x:c r="F14" s="9" t="str">
        <x:v>Certificado</x:v>
      </x:c>
      <x:c r="G14" s="9" t="str">
        <x:v>Ergonomia/FOPS/ROPS</x:v>
      </x:c>
      <x:c r="H14" s="9" t="str">
        <x:v>3465336</x:v>
      </x:c>
      <x:c r="I14" s="9" t="str">
        <x:v>JCB5AH2GER3465336</x:v>
      </x:c>
      <x:c r="J14" s="9" t="str">
        <x:v>./certificados/XTM-MANI-336_MANIPULADOR_ERGONOMIA-FOPS-ROPS.pdf</x:v>
      </x:c>
      <x:c r="K14" s="9" t="str">
        <x:v>./validar.html?id=XTM-MANI-336</x:v>
      </x:c>
      <x:c r="L14" s="9" t="str">
        <x:v>./qr/XTM-MANI-336.png</x:v>
      </x:c>
    </x:row>
    <x:row r="15">
      <x:c r="A15" s="9" t="str">
        <x:v>XTM-MANI-319</x:v>
      </x:c>
      <x:c r="B15" s="9" t="str">
        <x:v>MANIPULADOR TELESCOPICO</x:v>
      </x:c>
      <x:c r="C15" s="9" t="str">
        <x:v>Manipulador</x:v>
      </x:c>
      <x:c r="D15" s="9" t="str">
        <x:v>JCB 533-105 T</x:v>
      </x:c>
      <x:c r="E15" s="9" t="str">
        <x:v>JCB</x:v>
      </x:c>
      <x:c r="F15" s="9" t="str">
        <x:v>Certificado</x:v>
      </x:c>
      <x:c r="G15" s="9" t="str">
        <x:v>Ergonomia/FOPS/ROPS</x:v>
      </x:c>
      <x:c r="H15" s="9" t="str">
        <x:v>3465319</x:v>
      </x:c>
      <x:c r="I15" s="9" t="str">
        <x:v>JCB5AH2GER3465319</x:v>
      </x:c>
      <x:c r="J15" s="9" t="str">
        <x:v>./certificados/XTM-MANI-319_MANIPULADOR_ERGONOMIA-FOPS-ROPS.pdf</x:v>
      </x:c>
      <x:c r="K15" s="9" t="str">
        <x:v>./validar.html?id=XTM-MANI-319</x:v>
      </x:c>
      <x:c r="L15" s="9" t="str">
        <x:v>./qr/XTM-MANI-319.png</x:v>
      </x:c>
    </x:row>
    <x:row r="16">
      <x:c r="A16" s="9" t="str">
        <x:v>XTM-MANI-474</x:v>
      </x:c>
      <x:c r="B16" s="9" t="str">
        <x:v>MANIPULADOR TELESCOPICO</x:v>
      </x:c>
      <x:c r="C16" s="9" t="str">
        <x:v>Manipulador</x:v>
      </x:c>
      <x:c r="D16" s="9" t="str">
        <x:v>JCB 533-105 T</x:v>
      </x:c>
      <x:c r="E16" s="9" t="str">
        <x:v>JCB</x:v>
      </x:c>
      <x:c r="F16" s="9" t="str">
        <x:v>Certificado</x:v>
      </x:c>
      <x:c r="G16" s="9" t="str">
        <x:v>Ergonomia/FOPS/ROPS</x:v>
      </x:c>
      <x:c r="H16" s="9" t="str">
        <x:v>3465474</x:v>
      </x:c>
      <x:c r="I16" s="9" t="str">
        <x:v>JCB5AH2GCR3465474</x:v>
      </x:c>
      <x:c r="J16" s="9" t="str">
        <x:v>./certificados/XTM-MANI-474_MANIPULADOR_ERGONOMIA-FOPS-ROPS.pdf</x:v>
      </x:c>
      <x:c r="K16" s="9" t="str">
        <x:v>./validar.html?id=XTM-MANI-474</x:v>
      </x:c>
      <x:c r="L16" s="9" t="str">
        <x:v>./qr/XTM-MANI-474.png</x:v>
      </x:c>
    </x:row>
    <x:row r="17">
      <x:c r="A17" s="9" t="str">
        <x:v>XTM-MANI-512</x:v>
      </x:c>
      <x:c r="B17" s="9" t="str">
        <x:v>MANIPULADOR TELESCOPICO</x:v>
      </x:c>
      <x:c r="C17" s="9" t="str">
        <x:v>Manipulador</x:v>
      </x:c>
      <x:c r="D17" s="9" t="str">
        <x:v>JCB 533-105 T</x:v>
      </x:c>
      <x:c r="E17" s="9" t="str">
        <x:v>JCB</x:v>
      </x:c>
      <x:c r="F17" s="9" t="str">
        <x:v>Pendiente</x:v>
      </x:c>
      <x:c r="G17" s="9" t="str">
        <x:v>Sin certificado adjunto</x:v>
      </x:c>
      <x:c r="H17" s="9" t="str"/>
      <x:c r="I17" s="9" t="str"/>
      <x:c r="J17" s="9" t="str"/>
      <x:c r="K17" s="9" t="str">
        <x:v>./validar.html?id=XTM-MANI-512</x:v>
      </x:c>
      <x:c r="L17" s="9" t="str"/>
    </x:row>
    <x:row r="18">
      <x:c r="A18" s="9" t="str">
        <x:v>XTM-MANI-757</x:v>
      </x:c>
      <x:c r="B18" s="9" t="str">
        <x:v>MANIPULADOR TELESCOPICO</x:v>
      </x:c>
      <x:c r="C18" s="9" t="str">
        <x:v>Manipulador</x:v>
      </x:c>
      <x:c r="D18" s="9" t="str">
        <x:v>JCB 533-105 T</x:v>
      </x:c>
      <x:c r="E18" s="9" t="str">
        <x:v>JCB</x:v>
      </x:c>
      <x:c r="F18" s="9" t="str">
        <x:v>Pendiente</x:v>
      </x:c>
      <x:c r="G18" s="9" t="str">
        <x:v>Sin certificado adjunto</x:v>
      </x:c>
      <x:c r="H18" s="9" t="str"/>
      <x:c r="I18" s="9" t="str"/>
      <x:c r="J18" s="9" t="str"/>
      <x:c r="K18" s="9" t="str">
        <x:v>./validar.html?id=XTM-MANI-757</x:v>
      </x:c>
      <x:c r="L18" s="9" t="str"/>
    </x:row>
    <x:row r="19">
      <x:c r="A19" s="9" t="str">
        <x:v>XTM-MANI-891</x:v>
      </x:c>
      <x:c r="B19" s="9" t="str">
        <x:v>MANIPULADOR TELESCOPICO</x:v>
      </x:c>
      <x:c r="C19" s="9" t="str">
        <x:v>Manipulador</x:v>
      </x:c>
      <x:c r="D19" s="9" t="str">
        <x:v>JCB 533-105 T</x:v>
      </x:c>
      <x:c r="E19" s="9" t="str">
        <x:v>JCB</x:v>
      </x:c>
      <x:c r="F19" s="9" t="str">
        <x:v>Pendiente</x:v>
      </x:c>
      <x:c r="G19" s="9" t="str">
        <x:v>Sin certificado adjunto</x:v>
      </x:c>
      <x:c r="H19" s="9" t="str"/>
      <x:c r="I19" s="9" t="str"/>
      <x:c r="J19" s="9" t="str"/>
      <x:c r="K19" s="9" t="str">
        <x:v>./validar.html?id=XTM-MANI-891</x:v>
      </x:c>
      <x:c r="L19" s="9" t="str"/>
    </x:row>
    <x:row r="20">
      <x:c r="A20" s="9" t="str">
        <x:v>XTM-MANI-660</x:v>
      </x:c>
      <x:c r="B20" s="9" t="str">
        <x:v>MANIPULADOR TELESCOPICO</x:v>
      </x:c>
      <x:c r="C20" s="9" t="str">
        <x:v>Manipulador</x:v>
      </x:c>
      <x:c r="D20" s="9" t="str">
        <x:v>JCB 533-105 T</x:v>
      </x:c>
      <x:c r="E20" s="9" t="str">
        <x:v>JCB</x:v>
      </x:c>
      <x:c r="F20" s="9" t="str">
        <x:v>Pendiente</x:v>
      </x:c>
      <x:c r="G20" s="9" t="str">
        <x:v>Sin certificado adjunto</x:v>
      </x:c>
      <x:c r="H20" s="9" t="str"/>
      <x:c r="I20" s="9" t="str"/>
      <x:c r="J20" s="9" t="str"/>
      <x:c r="K20" s="9" t="str">
        <x:v>./validar.html?id=XTM-MANI-660</x:v>
      </x:c>
      <x:c r="L20" s="9" t="str"/>
    </x:row>
    <x:row r="21">
      <x:c r="A21" s="9" t="str">
        <x:v>XTM-RETRO-264</x:v>
      </x:c>
      <x:c r="B21" s="9" t="str">
        <x:v>RETROEXCAVADORA</x:v>
      </x:c>
      <x:c r="C21" s="9" t="str">
        <x:v>Retroexcavadora</x:v>
      </x:c>
      <x:c r="D21" s="9" t="str">
        <x:v>JCB 3CX ECO</x:v>
      </x:c>
      <x:c r="E21" s="9" t="str">
        <x:v>JCB</x:v>
      </x:c>
      <x:c r="F21" s="9" t="str">
        <x:v>Certificado</x:v>
      </x:c>
      <x:c r="G21" s="9" t="str">
        <x:v>Ergonomia/FOPS/ROPS</x:v>
      </x:c>
      <x:c r="H21" s="9" t="str">
        <x:v>3326264</x:v>
      </x:c>
      <x:c r="I21" s="9" t="str">
        <x:v>JCB3CX4TER3326264</x:v>
      </x:c>
      <x:c r="J21" s="9" t="str">
        <x:v>./certificados/XTM-RETRO-264_RETROEXCAVADORA_ERGONOMIA-FOPS-ROPS.pdf</x:v>
      </x:c>
      <x:c r="K21" s="9" t="str">
        <x:v>./validar.html?id=XTM-RETRO-264</x:v>
      </x:c>
      <x:c r="L21" s="9" t="str">
        <x:v>./qr/XTM-RETRO-264.png</x:v>
      </x:c>
    </x:row>
    <x:row r="22">
      <x:c r="A22" s="9" t="str">
        <x:v>XTM-RETRO-385</x:v>
      </x:c>
      <x:c r="B22" s="9" t="str">
        <x:v>RETROEXCAVADORA</x:v>
      </x:c>
      <x:c r="C22" s="9" t="str">
        <x:v>Retroexcavadora</x:v>
      </x:c>
      <x:c r="D22" s="9" t="str">
        <x:v>JCB 3CX ECO</x:v>
      </x:c>
      <x:c r="E22" s="9" t="str">
        <x:v>JCB</x:v>
      </x:c>
      <x:c r="F22" s="9" t="str">
        <x:v>Certificado</x:v>
      </x:c>
      <x:c r="G22" s="9" t="str">
        <x:v>Ergonomia/FOPS/ROPS</x:v>
      </x:c>
      <x:c r="H22" s="9" t="str">
        <x:v>3439385</x:v>
      </x:c>
      <x:c r="I22" s="9" t="str">
        <x:v>JCB3CX4TLR3439385</x:v>
      </x:c>
      <x:c r="J22" s="9" t="str">
        <x:v>./certificados/XTM-RETRO-385_RETROEXCAVADORA_ERGONOMIA-FOPS-ROPS.pdf</x:v>
      </x:c>
      <x:c r="K22" s="9" t="str">
        <x:v>./validar.html?id=XTM-RETRO-385</x:v>
      </x:c>
      <x:c r="L22" s="9" t="str">
        <x:v>./qr/XTM-RETRO-385.png</x:v>
      </x:c>
    </x:row>
    <x:row r="23">
      <x:c r="A23" s="9" t="str">
        <x:v>XTM-ROBOSHOT-231</x:v>
      </x:c>
      <x:c r="B23" s="9" t="str">
        <x:v>ROBOSHOT ALPHA 30</x:v>
      </x:c>
      <x:c r="C23" s="9" t="str">
        <x:v>Roboshot</x:v>
      </x:c>
      <x:c r="D23" s="9" t="str">
        <x:v>Normet Alpha 30</x:v>
      </x:c>
      <x:c r="E23" s="9" t="str">
        <x:v>Normet</x:v>
      </x:c>
      <x:c r="F23" s="9" t="str">
        <x:v>Certificado</x:v>
      </x:c>
      <x:c r="G23" s="9" t="str">
        <x:v>Cabina FOPS/ROPS</x:v>
      </x:c>
      <x:c r="H23" s="9" t="str">
        <x:v>EQA0231</x:v>
      </x:c>
      <x:c r="I23" s="9" t="str">
        <x:v>EQA0231</x:v>
      </x:c>
      <x:c r="J23" s="9" t="str">
        <x:v>./certificados/XTM-ROBOSHOT-231_ROBOSHOT-ALPHA-30_CERT-CABINA.pdf</x:v>
      </x:c>
      <x:c r="K23" s="9" t="str">
        <x:v>./validar.html?id=XTM-ROBOSHOT-231</x:v>
      </x:c>
      <x:c r="L23" s="9" t="str">
        <x:v>./qr/XTM-ROBOSHOT-231.png</x:v>
      </x:c>
    </x:row>
    <x:row r="24">
      <x:c r="A24" s="9" t="str">
        <x:v>XTM-ROBOSHOT-048</x:v>
      </x:c>
      <x:c r="B24" s="9" t="str">
        <x:v>ROBOSHOT ALPHA 20</x:v>
      </x:c>
      <x:c r="C24" s="9" t="str">
        <x:v>Roboshot</x:v>
      </x:c>
      <x:c r="D24" s="9" t="str">
        <x:v>Normet Alpha 20</x:v>
      </x:c>
      <x:c r="E24" s="9" t="str">
        <x:v>Normet</x:v>
      </x:c>
      <x:c r="F24" s="9" t="str">
        <x:v>Certificado</x:v>
      </x:c>
      <x:c r="G24" s="9" t="str">
        <x:v>Cabina FOPS/ROPS</x:v>
      </x:c>
      <x:c r="H24" s="9" t="str">
        <x:v>ELA1048</x:v>
      </x:c>
      <x:c r="I24" s="9" t="str">
        <x:v>ELA1048</x:v>
      </x:c>
      <x:c r="J24" s="9" t="str">
        <x:v>./certificados/XTM-ROBOSHOT-048_ROBOSHOT-ALPHA-20_CERT-CABINA.pdf</x:v>
      </x:c>
      <x:c r="K24" s="9" t="str">
        <x:v>./validar.html?id=XTM-ROBOSHOT-048</x:v>
      </x:c>
      <x:c r="L24" s="9" t="str">
        <x:v>./qr/XTM-ROBOSHOT-048.png</x:v>
      </x:c>
    </x:row>
    <x:row r="25">
      <x:c r="A25" s="9" t="str">
        <x:v>XTM-BOMBA-978</x:v>
      </x:c>
      <x:c r="B25" s="9" t="str">
        <x:v>BOMBA DE HORMIGON TK 1004</x:v>
      </x:c>
      <x:c r="C25" s="9" t="str">
        <x:v>Bomba</x:v>
      </x:c>
      <x:c r="D25" s="9" t="str">
        <x:v>Bomba de Hormigon TK 1004</x:v>
      </x:c>
      <x:c r="E25" s="9" t="str"/>
      <x:c r="F25" s="9" t="str">
        <x:v>Pendiente</x:v>
      </x:c>
      <x:c r="G25" s="9" t="str">
        <x:v>Sin certificado adjunto</x:v>
      </x:c>
      <x:c r="H25" s="9" t="str"/>
      <x:c r="I25" s="9" t="str"/>
      <x:c r="J25" s="9" t="str"/>
      <x:c r="K25" s="9" t="str">
        <x:v>./validar.html?id=XTM-BOMBA-978</x:v>
      </x:c>
      <x:c r="L25" s="9" t="str"/>
    </x:row>
    <x:row r="26">
      <x:c r="A26" s="9" t="str">
        <x:v>XTM-MIX-132</x:v>
      </x:c>
      <x:c r="B26" s="9" t="str">
        <x:v>MIXER</x:v>
      </x:c>
      <x:c r="C26" s="9" t="str">
        <x:v>Mixer</x:v>
      </x:c>
      <x:c r="D26" s="9" t="str">
        <x:v>Mixer</x:v>
      </x:c>
      <x:c r="E26" s="9" t="str"/>
      <x:c r="F26" s="9" t="str">
        <x:v>Pendiente</x:v>
      </x:c>
      <x:c r="G26" s="9" t="str">
        <x:v>Sin certificado adjunto</x:v>
      </x:c>
      <x:c r="H26" s="9" t="str"/>
      <x:c r="I26" s="9" t="str"/>
      <x:c r="J26" s="9" t="str"/>
      <x:c r="K26" s="9" t="str">
        <x:v>./validar.html?id=XTM-MIX-132</x:v>
      </x:c>
      <x:c r="L26" s="9" t="str"/>
    </x:row>
    <x:row r="27">
      <x:c r="A27" s="9" t="str">
        <x:v>XTM-MIX-152</x:v>
      </x:c>
      <x:c r="B27" s="9" t="str">
        <x:v>MIXER</x:v>
      </x:c>
      <x:c r="C27" s="9" t="str">
        <x:v>Mixer</x:v>
      </x:c>
      <x:c r="D27" s="9" t="str">
        <x:v>Mixer</x:v>
      </x:c>
      <x:c r="E27" s="9" t="str"/>
      <x:c r="F27" s="9" t="str">
        <x:v>Pendiente</x:v>
      </x:c>
      <x:c r="G27" s="9" t="str">
        <x:v>Sin certificado adjunto</x:v>
      </x:c>
      <x:c r="H27" s="9" t="str"/>
      <x:c r="I27" s="9" t="str"/>
      <x:c r="J27" s="9" t="str"/>
      <x:c r="K27" s="9" t="str">
        <x:v>./validar.html?id=XTM-MIX-152</x:v>
      </x:c>
      <x:c r="L27" s="9" t="str"/>
    </x:row>
    <x:row r="28">
      <x:c r="A28" s="9" t="str">
        <x:v>XTM-ACUNADOR-427</x:v>
      </x:c>
      <x:c r="B28" s="9" t="str">
        <x:v>ACUÑADOR SCALEMIN HT</x:v>
      </x:c>
      <x:c r="C28" s="9" t="str">
        <x:v>Acuñador</x:v>
      </x:c>
      <x:c r="D28" s="9" t="str">
        <x:v>Scalemin HT</x:v>
      </x:c>
      <x:c r="E28" s="9" t="str">
        <x:v>Resemin</x:v>
      </x:c>
      <x:c r="F28" s="9" t="str">
        <x:v>Certificado</x:v>
      </x:c>
      <x:c r="G28" s="9" t="str">
        <x:v>FOPS/ROPS inspeccion BV</x:v>
      </x:c>
      <x:c r="H28" s="9" t="str">
        <x:v>JMC-1427</x:v>
      </x:c>
      <x:c r="I28" s="9" t="str">
        <x:v>JMC-1427</x:v>
      </x:c>
      <x:c r="J28" s="9" t="str">
        <x:v>./certificados/XTM-ACUNADOR-427_SCALEMIN-HT_FOPS-ROPS.pdf</x:v>
      </x:c>
      <x:c r="K28" s="9" t="str">
        <x:v>./validar.html?id=XTM-ACUNADOR-427</x:v>
      </x:c>
      <x:c r="L28" s="9" t="str">
        <x:v>./qr/XTM-ACUNADOR-427.png</x:v>
      </x:c>
    </x:row>
  </x:sheetData>
  <x:pageMargins left="0.7" right="0.7" top="0.75" bottom="0.75" header="0.3" footer="0.3"/>
  <x:tableParts count="1">
    <x:tablePart xmlns:r="http://schemas.openxmlformats.org/officeDocument/2006/relationships" r:id="Rdc3499e89cc445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4.170000076293945" hidden="0" customWidth="1"/>
    <x:col min="4" max="4" width="19.25" hidden="0" customWidth="1"/>
    <x:col min="5" max="5" width="9.149999618530273" hidden="0" customWidth="1"/>
    <x:col min="6" max="6" width="9.149999618530273" hidden="0" customWidth="1"/>
  </x:cols>
  <x:sheetData>
    <x:row r="1" ht="28" customHeight="1">
      <x:c r="A1" s="13" t="str">
        <x:v>XTREME MINING - Dashboard Documental de Equipos</x:v>
      </x:c>
    </x:row>
    <x:row r="3">
      <x:c r="A3" s="17" t="str">
        <x:v>Indicador</x:v>
      </x:c>
      <x:c r="B3" s="17" t="str">
        <x:v>Valor</x:v>
      </x:c>
      <x:c r="D3" s="3" t="str">
        <x:v>Hito</x:v>
      </x:c>
      <x:c r="E3" s="3" t="str">
        <x:v>Inicio</x:v>
      </x:c>
      <x:c r="F3" s="3" t="str">
        <x:v>Fin</x:v>
      </x:c>
    </x:row>
    <x:row r="4">
      <x:c r="A4" s="20" t="str">
        <x:v>Total equipos</x:v>
      </x:c>
      <x:c r="B4" t="n">
        <x:f>COUNTA(Equipos!A2:A28)</x:f>
        <x:v>27</x:v>
      </x:c>
      <x:c r="D4" t="str">
        <x:v>Diagnóstico documental</x:v>
      </x:c>
      <x:c r="E4" t="str">
        <x:v>2026-05-25</x:v>
      </x:c>
      <x:c r="F4" t="str">
        <x:v>2026-05-29</x:v>
      </x:c>
    </x:row>
    <x:row r="5">
      <x:c r="A5" s="20" t="str">
        <x:v>Certificados</x:v>
      </x:c>
      <x:c r="B5" t="n">
        <x:f>COUNTIF(Equipos!F2:F28,"Certificado")</x:f>
        <x:v>19</x:v>
      </x:c>
      <x:c r="D5" t="str">
        <x:v>Cierre de brechas</x:v>
      </x:c>
      <x:c r="E5" t="str">
        <x:v>2026-06-01</x:v>
      </x:c>
      <x:c r="F5" t="str">
        <x:v>2026-06-05</x:v>
      </x:c>
    </x:row>
    <x:row r="6">
      <x:c r="A6" s="20" t="str">
        <x:v>Pendientes</x:v>
      </x:c>
      <x:c r="B6" t="n">
        <x:f>COUNTIF(Equipos!F2:F28,"Pendiente")</x:f>
        <x:v>8</x:v>
      </x:c>
      <x:c r="D6" t="str">
        <x:v>Evaluación práctica</x:v>
      </x:c>
      <x:c r="E6" t="str">
        <x:v>2026-06-08</x:v>
      </x:c>
      <x:c r="F6" t="str">
        <x:v>2026-06-12</x:v>
      </x:c>
    </x:row>
    <x:row r="7">
      <x:c r="A7" s="20" t="str">
        <x:v>% certificados</x:v>
      </x:c>
      <x:c r="B7" s="22" t="n">
        <x:f>IF(B4=0,0,B5/B4)</x:f>
        <x:v>0.7037037037037037</x:v>
      </x:c>
      <x:c r="D7" t="str">
        <x:v>Certificación y respaldo</x:v>
      </x:c>
      <x:c r="E7" t="str">
        <x:v>2026-06-15</x:v>
      </x:c>
      <x:c r="F7" t="str">
        <x:v>2026-06-19</x:v>
      </x:c>
    </x:row>
    <x:row r="8">
      <x:c r="D8" t="str">
        <x:v>Cierre documental</x:v>
      </x:c>
      <x:c r="E8" t="str">
        <x:v>2026-06-22</x:v>
      </x:c>
      <x:c r="F8" t="str">
        <x:v>2026-06-22</x:v>
      </x:c>
    </x:row>
  </x:sheetData>
  <x:mergeCells>
    <x:mergeCell ref="A1:F1"/>
  </x:mergeCells>
  <x:pageMargins left="0.7" right="0.7" top="0.75" bottom="0.75" header="0.3" footer="0.3"/>
</x:worksheet>
</file>